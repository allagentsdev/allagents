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  <sheet name="Time" sheetId="2" r:id="rId2"/>
    <sheet name="Workings" sheetId="3" r:id="rId3"/>
    <sheet name="Outputs" sheetId="4" r:id="rId4"/>
  </sheets>
  <definedNames>
    <definedName name="_xlnm.Print_Titles" localSheetId="0">Inputs!$1:$4</definedName>
    <definedName name="_xlnm.Print_Titles" localSheetId="3">Outputs!$1:$4</definedName>
    <definedName name="_xlnm.Print_Titles" localSheetId="1">Time!$1:$4</definedName>
    <definedName name="_xlnm.Print_Titles" localSheetId="2">Workings!$1:$4</definedName>
  </definedNames>
  <calcPr calcId="124519" fullCalcOnLoad="1"/>
</workbook>
</file>

<file path=xl/sharedStrings.xml><?xml version="1.0" encoding="utf-8"?>
<sst xmlns="http://schemas.openxmlformats.org/spreadsheetml/2006/main" count="63" uniqueCount="39">
  <si>
    <t>Inputs | fictional example</t>
  </si>
  <si>
    <t>Line item</t>
  </si>
  <si>
    <t>Constant / unit</t>
  </si>
  <si>
    <t>Time | fictional example</t>
  </si>
  <si>
    <t>Workings | fictional example</t>
  </si>
  <si>
    <t>Outputs | fictional example</t>
  </si>
  <si>
    <t>Annual expense</t>
  </si>
  <si>
    <t>Day-count basis (days)</t>
  </si>
  <si>
    <t>Initial balance</t>
  </si>
  <si>
    <t>Annual balance reduction rate</t>
  </si>
  <si>
    <t>Eligible days</t>
  </si>
  <si>
    <t>days</t>
  </si>
  <si>
    <t>Original fictional figures. The rate illustrates a balance schedule; it is not a tax assumption.</t>
  </si>
  <si>
    <t>Numeric inputs and a positive day-count basis are prerequisites. Change a yellow cell to see formulas update.</t>
  </si>
  <si>
    <t>Formatting legend</t>
  </si>
  <si>
    <t>Entered input: yellow fill</t>
  </si>
  <si>
    <t>Import link: blue font</t>
  </si>
  <si>
    <t>Exported calculated result: red font</t>
  </si>
  <si>
    <t>Local calculation: black font</t>
  </si>
  <si>
    <t>FAST conventions illustrated: local ingredients, chronological periods, short formulas and consistent patterns. No certification is claimed.</t>
  </si>
  <si>
    <t>First period flag</t>
  </si>
  <si>
    <t>Exposure fraction</t>
  </si>
  <si>
    <t>Day-count basis</t>
  </si>
  <si>
    <t>The first-period flag provides initialization while keeping one opening-balance formula across all periods.</t>
  </si>
  <si>
    <t>Allocated expense</t>
  </si>
  <si>
    <t>Balance reduction</t>
  </si>
  <si>
    <t>Opening balance</t>
  </si>
  <si>
    <t>Annual reduction rate</t>
  </si>
  <si>
    <t>Closing balance</t>
  </si>
  <si>
    <t>Balance reconciliation</t>
  </si>
  <si>
    <t>Check (expected zero)</t>
  </si>
  <si>
    <t>Initialization is explicit through the local flag. Later openings use the previous calculated closing; no missing history is fabricated.</t>
  </si>
  <si>
    <t>Claim is capped at the available opening balance. Magnitude and timing are separate ingredients.</t>
  </si>
  <si>
    <t>Closing has its own block: opening less reduction. Repeated ingredient links keep each block readable.</t>
  </si>
  <si>
    <t>Reported results</t>
  </si>
  <si>
    <t>Combined illustrated expense</t>
  </si>
  <si>
    <t>Balance check (expected zero)</t>
  </si>
  <si>
    <t>Report lines link to the calculated results. The subtotal is a plain SUM over its contributing rows.</t>
  </si>
  <si>
    <t>This is a numerical reconciliation, not a count of populated cells.</t>
  </si>
</sst>
</file>

<file path=xl/styles.xml><?xml version="1.0" encoding="utf-8"?>
<styleSheet xmlns="http://schemas.openxmlformats.org/spreadsheetml/2006/main">
  <numFmts count="2">
    <numFmt numFmtId="164" formatCode="#,##0.00;(#,##0.00);0.00"/>
    <numFmt numFmtId="165" formatCode="0.00%"/>
  </numFmts>
  <fonts count="8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color theme="1"/>
      <name val="Arial"/>
      <family val="2"/>
    </font>
    <font>
      <sz val="10"/>
      <color rgb="FF586474"/>
      <name val="Arial"/>
      <family val="2"/>
    </font>
    <font>
      <sz val="10"/>
      <color rgb="FF0000FF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EDF3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1" fontId="3" fillId="0" borderId="0" xfId="0" applyNumberFormat="1" applyFont="1"/>
    <xf numFmtId="0" fontId="4" fillId="0" borderId="0" xfId="0" applyFont="1"/>
    <xf numFmtId="164" fontId="4" fillId="3" borderId="0" xfId="0" applyNumberFormat="1" applyFont="1" applyFill="1"/>
    <xf numFmtId="0" fontId="5" fillId="0" borderId="0" xfId="0" applyFont="1" applyAlignment="1">
      <alignment wrapText="1"/>
    </xf>
    <xf numFmtId="165" fontId="4" fillId="3" borderId="0" xfId="0" applyNumberFormat="1" applyFont="1" applyFill="1"/>
    <xf numFmtId="164" fontId="6" fillId="0" borderId="0" xfId="0" applyNumberFormat="1" applyFont="1"/>
    <xf numFmtId="164" fontId="7" fillId="0" borderId="1" xfId="0" applyNumberFormat="1" applyFont="1" applyBorder="1"/>
    <xf numFmtId="1" fontId="2" fillId="0" borderId="0" xfId="0" applyNumberFormat="1" applyFont="1"/>
    <xf numFmtId="165" fontId="7" fillId="0" borderId="1" xfId="0" applyNumberFormat="1" applyFont="1" applyBorder="1"/>
    <xf numFmtId="165" fontId="6" fillId="0" borderId="0" xfId="0" applyNumberFormat="1" applyFont="1"/>
    <xf numFmtId="164" fontId="4" fillId="0" borderId="0" xfId="0" applyNumberFormat="1" applyFont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H18"/>
  <sheetViews>
    <sheetView showGridLines="0" tabSelected="1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3.7109375" customWidth="1"/>
    <col min="2" max="2" width="39.7109375" customWidth="1"/>
    <col min="3" max="3" width="15.7109375" customWidth="1"/>
    <col min="4" max="6" width="17.7109375" customWidth="1"/>
    <col min="7" max="7" width="3.7109375" customWidth="1"/>
    <col min="8" max="8" width="58.7109375" customWidth="1"/>
  </cols>
  <sheetData>
    <row r="1" spans="2:8">
      <c r="B1" s="1" t="s">
        <v>0</v>
      </c>
    </row>
    <row r="4" spans="2:8">
      <c r="B4" s="2" t="s">
        <v>1</v>
      </c>
      <c r="C4" s="2" t="s">
        <v>2</v>
      </c>
      <c r="D4" s="3">
        <f>Time!D4</f>
        <v>2025</v>
      </c>
      <c r="E4" s="3">
        <f>Time!E4</f>
        <v>2026</v>
      </c>
      <c r="F4" s="3">
        <f>Time!F4</f>
        <v>2027</v>
      </c>
    </row>
    <row r="5" spans="2:8">
      <c r="B5" s="4" t="s">
        <v>6</v>
      </c>
      <c r="C5" s="5">
        <v>1200</v>
      </c>
      <c r="H5" s="6" t="s">
        <v>12</v>
      </c>
    </row>
    <row r="6" spans="2:8">
      <c r="B6" s="4" t="s">
        <v>7</v>
      </c>
      <c r="C6" s="5">
        <v>365</v>
      </c>
    </row>
    <row r="7" spans="2:8">
      <c r="B7" s="4" t="s">
        <v>8</v>
      </c>
      <c r="C7" s="5">
        <v>5000</v>
      </c>
      <c r="H7" s="6" t="s">
        <v>13</v>
      </c>
    </row>
    <row r="8" spans="2:8">
      <c r="B8" s="4" t="s">
        <v>9</v>
      </c>
      <c r="C8" s="7">
        <v>0.2</v>
      </c>
    </row>
    <row r="10" spans="2:8">
      <c r="B10" s="4" t="s">
        <v>10</v>
      </c>
      <c r="C10" s="4" t="s">
        <v>11</v>
      </c>
      <c r="D10" s="5">
        <v>365</v>
      </c>
      <c r="E10" s="5">
        <v>183</v>
      </c>
      <c r="F10" s="5">
        <v>365</v>
      </c>
    </row>
    <row r="14" spans="2:8">
      <c r="B14" s="2" t="s">
        <v>14</v>
      </c>
      <c r="H14" s="6" t="s">
        <v>19</v>
      </c>
    </row>
    <row r="15" spans="2:8">
      <c r="B15" s="5" t="s">
        <v>15</v>
      </c>
    </row>
    <row r="16" spans="2:8">
      <c r="B16" s="8" t="s">
        <v>16</v>
      </c>
    </row>
    <row r="17" spans="2:2">
      <c r="B17" s="9" t="s">
        <v>17</v>
      </c>
    </row>
    <row r="18" spans="2:2">
      <c r="B18" s="4" t="s">
        <v>18</v>
      </c>
    </row>
  </sheetData>
  <pageMargins left="0.7" right="0.7" top="0.75" bottom="0.75" header="0.3" footer="0.3"/>
  <pageSetup orientation="landscape"/>
  <headerFooter>
    <oddFooter>&amp;LOriginal fictional example&amp;RPage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B1:H13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3.7109375" customWidth="1"/>
    <col min="2" max="2" width="39.7109375" customWidth="1"/>
    <col min="3" max="3" width="15.7109375" customWidth="1"/>
    <col min="4" max="6" width="17.7109375" customWidth="1"/>
    <col min="7" max="7" width="3.7109375" customWidth="1"/>
    <col min="8" max="8" width="58.7109375" customWidth="1"/>
  </cols>
  <sheetData>
    <row r="1" spans="2:8">
      <c r="B1" s="1" t="s">
        <v>3</v>
      </c>
    </row>
    <row r="4" spans="2:8">
      <c r="B4" s="2" t="s">
        <v>1</v>
      </c>
      <c r="C4" s="2" t="s">
        <v>2</v>
      </c>
      <c r="D4" s="10">
        <v>2025</v>
      </c>
      <c r="E4" s="10">
        <f>D4+1</f>
        <v>2026</v>
      </c>
      <c r="F4" s="10">
        <f>E4+1</f>
        <v>2027</v>
      </c>
    </row>
    <row r="7" spans="2:8">
      <c r="B7" s="4" t="s">
        <v>20</v>
      </c>
      <c r="D7" s="9" t="b">
        <f>D$4=$D$4</f>
        <v>1</v>
      </c>
      <c r="E7" s="9" t="b">
        <f>E$4=$D$4</f>
        <v>0</v>
      </c>
      <c r="F7" s="9" t="b">
        <f>F$4=$D$4</f>
        <v>0</v>
      </c>
      <c r="H7" s="6" t="s">
        <v>23</v>
      </c>
    </row>
    <row r="9" spans="2:8">
      <c r="B9" s="2" t="s">
        <v>21</v>
      </c>
    </row>
    <row r="10" spans="2:8">
      <c r="B10" s="4" t="s">
        <v>10</v>
      </c>
      <c r="D10" s="8">
        <f>Inputs!D10</f>
        <v>365</v>
      </c>
      <c r="E10" s="8">
        <f>Inputs!E10</f>
        <v>183</v>
      </c>
      <c r="F10" s="8">
        <f>Inputs!F10</f>
        <v>365</v>
      </c>
    </row>
    <row r="11" spans="2:8">
      <c r="B11" s="4" t="s">
        <v>22</v>
      </c>
      <c r="D11" s="8">
        <f>Inputs!$C$6</f>
        <v>365</v>
      </c>
      <c r="E11" s="8">
        <f>Inputs!$C$6</f>
        <v>365</v>
      </c>
      <c r="F11" s="8">
        <f>Inputs!$C$6</f>
        <v>365</v>
      </c>
    </row>
    <row r="13" spans="2:8">
      <c r="B13" s="4" t="s">
        <v>21</v>
      </c>
      <c r="D13" s="11">
        <f>D10/D11</f>
        <v>1.0</v>
      </c>
      <c r="E13" s="11">
        <f>E10/E11</f>
        <v>0.5013698630136987</v>
      </c>
      <c r="F13" s="11">
        <f>F10/F11</f>
        <v>1.0</v>
      </c>
    </row>
  </sheetData>
  <pageMargins left="0.7" right="0.7" top="0.75" bottom="0.75" header="0.3" footer="0.3"/>
  <pageSetup orientation="landscape"/>
  <headerFooter>
    <oddFooter>&amp;LOriginal fictional example&amp;RPage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1:H44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3.7109375" customWidth="1"/>
    <col min="2" max="2" width="39.7109375" customWidth="1"/>
    <col min="3" max="3" width="15.7109375" customWidth="1"/>
    <col min="4" max="6" width="17.7109375" customWidth="1"/>
    <col min="7" max="7" width="3.7109375" customWidth="1"/>
    <col min="8" max="8" width="58.7109375" customWidth="1"/>
  </cols>
  <sheetData>
    <row r="1" spans="2:6">
      <c r="B1" s="1" t="s">
        <v>4</v>
      </c>
    </row>
    <row r="4" spans="2:6">
      <c r="B4" s="2" t="s">
        <v>1</v>
      </c>
      <c r="C4" s="2" t="s">
        <v>2</v>
      </c>
      <c r="D4" s="3">
        <f>Time!D4</f>
        <v>2025</v>
      </c>
      <c r="E4" s="3">
        <f>Time!E4</f>
        <v>2026</v>
      </c>
      <c r="F4" s="3">
        <f>Time!F4</f>
        <v>2027</v>
      </c>
    </row>
    <row r="8" spans="2:6">
      <c r="B8" s="2" t="s">
        <v>24</v>
      </c>
    </row>
    <row r="9" spans="2:6">
      <c r="B9" s="4" t="s">
        <v>6</v>
      </c>
      <c r="D9" s="8">
        <f>Inputs!$C$5</f>
        <v>1200</v>
      </c>
      <c r="E9" s="8">
        <f>Inputs!$C$5</f>
        <v>1200</v>
      </c>
      <c r="F9" s="8">
        <f>Inputs!$C$5</f>
        <v>1200</v>
      </c>
    </row>
    <row r="10" spans="2:6">
      <c r="B10" s="4" t="s">
        <v>21</v>
      </c>
      <c r="D10" s="12">
        <f>Time!D13</f>
        <v>1.0</v>
      </c>
      <c r="E10" s="12">
        <f>Time!E13</f>
        <v>0.5013698630136987</v>
      </c>
      <c r="F10" s="12">
        <f>Time!F13</f>
        <v>1.0</v>
      </c>
    </row>
    <row r="12" spans="2:6">
      <c r="B12" s="4" t="s">
        <v>24</v>
      </c>
      <c r="D12" s="9">
        <f>D9*D10</f>
        <v>1200.0</v>
      </c>
      <c r="E12" s="9">
        <f>E9*E10</f>
        <v>601.6438356164384</v>
      </c>
      <c r="F12" s="9">
        <f>F9*F10</f>
        <v>1200.0</v>
      </c>
    </row>
    <row r="19" spans="2:8">
      <c r="B19" s="2" t="s">
        <v>25</v>
      </c>
    </row>
    <row r="20" spans="2:8">
      <c r="B20" s="4" t="s">
        <v>20</v>
      </c>
      <c r="D20" s="8" t="b">
        <f>Time!D7</f>
        <v>1</v>
      </c>
      <c r="E20" s="8" t="b">
        <f>Time!E7</f>
        <v>0</v>
      </c>
      <c r="F20" s="8" t="b">
        <f>Time!F7</f>
        <v>0</v>
      </c>
    </row>
    <row r="21" spans="2:8">
      <c r="B21" s="4" t="s">
        <v>8</v>
      </c>
      <c r="C21" s="8">
        <f>Inputs!$C$7</f>
        <v>5000</v>
      </c>
    </row>
    <row r="22" spans="2:8">
      <c r="B22" s="4" t="s">
        <v>26</v>
      </c>
      <c r="D22" s="13">
        <f>IF(D20,$C21,C36)</f>
        <v>5000</v>
      </c>
      <c r="E22" s="13">
        <f>IF(E20,$C21,D36)</f>
        <v>4000.0</v>
      </c>
      <c r="F22" s="13">
        <f>IF(F20,$C21,E36)</f>
        <v>3598.904109589041</v>
      </c>
      <c r="H22" s="6" t="s">
        <v>31</v>
      </c>
    </row>
    <row r="23" spans="2:8">
      <c r="B23" s="4" t="s">
        <v>27</v>
      </c>
      <c r="C23" s="12">
        <f>Inputs!$C$8</f>
        <v>0.2</v>
      </c>
    </row>
    <row r="24" spans="2:8">
      <c r="B24" s="4" t="s">
        <v>21</v>
      </c>
      <c r="D24" s="12">
        <f>Time!D13</f>
        <v>1.0</v>
      </c>
      <c r="E24" s="12">
        <f>Time!E13</f>
        <v>0.5013698630136987</v>
      </c>
      <c r="F24" s="12">
        <f>Time!F13</f>
        <v>1.0</v>
      </c>
    </row>
    <row r="26" spans="2:8">
      <c r="B26" s="4" t="s">
        <v>25</v>
      </c>
      <c r="D26" s="9">
        <f>MIN(D22,D22*$C23*D24)</f>
        <v>1000.0</v>
      </c>
      <c r="E26" s="9">
        <f>MIN(E22,E22*$C23*E24)</f>
        <v>401.09589041095893</v>
      </c>
      <c r="F26" s="9">
        <f>MIN(F22,F22*$C23*F24)</f>
        <v>719.7808219178082</v>
      </c>
      <c r="H26" s="6" t="s">
        <v>32</v>
      </c>
    </row>
    <row r="31" spans="2:8">
      <c r="B31" s="2" t="s">
        <v>28</v>
      </c>
    </row>
    <row r="32" spans="2:8">
      <c r="B32" s="4" t="s">
        <v>26</v>
      </c>
      <c r="D32" s="13">
        <f>D22</f>
        <v>5000</v>
      </c>
      <c r="E32" s="13">
        <f>E22</f>
        <v>4000.0</v>
      </c>
      <c r="F32" s="13">
        <f>F22</f>
        <v>3598.904109589041</v>
      </c>
    </row>
    <row r="33" spans="2:8">
      <c r="B33" s="4" t="s">
        <v>25</v>
      </c>
      <c r="D33" s="13">
        <f>D26</f>
        <v>1000.0</v>
      </c>
      <c r="E33" s="13">
        <f>E26</f>
        <v>401.09589041095893</v>
      </c>
      <c r="F33" s="13">
        <f>F26</f>
        <v>719.7808219178082</v>
      </c>
    </row>
    <row r="36" spans="2:8">
      <c r="B36" s="4" t="s">
        <v>28</v>
      </c>
      <c r="D36" s="9">
        <f>D32-D33</f>
        <v>4000.0</v>
      </c>
      <c r="E36" s="9">
        <f>E32-E33</f>
        <v>3598.904109589041</v>
      </c>
      <c r="F36" s="9">
        <f>F32-F33</f>
        <v>2879.123287671233</v>
      </c>
      <c r="H36" s="6" t="s">
        <v>33</v>
      </c>
    </row>
    <row r="39" spans="2:8">
      <c r="B39" s="2" t="s">
        <v>29</v>
      </c>
    </row>
    <row r="40" spans="2:8">
      <c r="B40" s="4" t="s">
        <v>26</v>
      </c>
      <c r="D40" s="13">
        <f>D22</f>
        <v>5000</v>
      </c>
      <c r="E40" s="13">
        <f>E22</f>
        <v>4000.0</v>
      </c>
      <c r="F40" s="13">
        <f>F22</f>
        <v>3598.904109589041</v>
      </c>
    </row>
    <row r="41" spans="2:8">
      <c r="B41" s="4" t="s">
        <v>25</v>
      </c>
      <c r="D41" s="13">
        <f>D26</f>
        <v>1000.0</v>
      </c>
      <c r="E41" s="13">
        <f>E26</f>
        <v>401.09589041095893</v>
      </c>
      <c r="F41" s="13">
        <f>F26</f>
        <v>719.7808219178082</v>
      </c>
    </row>
    <row r="42" spans="2:8">
      <c r="B42" s="4" t="s">
        <v>28</v>
      </c>
      <c r="D42" s="13">
        <f>D36</f>
        <v>4000.0</v>
      </c>
      <c r="E42" s="13">
        <f>E36</f>
        <v>3598.904109589041</v>
      </c>
      <c r="F42" s="13">
        <f>F36</f>
        <v>2879.123287671233</v>
      </c>
    </row>
    <row r="44" spans="2:8">
      <c r="B44" s="4" t="s">
        <v>30</v>
      </c>
      <c r="D44" s="9">
        <f>D40-SUM(D41:D42)</f>
        <v>0</v>
      </c>
      <c r="E44" s="9">
        <f>E40-SUM(E41:E42)</f>
        <v>0</v>
      </c>
      <c r="F44" s="9">
        <f>F40-SUM(F41:F42)</f>
        <v>0</v>
      </c>
    </row>
  </sheetData>
  <pageMargins left="0.7" right="0.7" top="0.75" bottom="0.75" header="0.3" footer="0.3"/>
  <pageSetup orientation="landscape"/>
  <headerFooter>
    <oddFooter>&amp;LOriginal fictional example&amp;RPage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B1:H18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1" width="3.7109375" customWidth="1"/>
    <col min="2" max="2" width="39.7109375" customWidth="1"/>
    <col min="3" max="3" width="15.7109375" customWidth="1"/>
    <col min="4" max="6" width="17.7109375" customWidth="1"/>
    <col min="7" max="7" width="3.7109375" customWidth="1"/>
    <col min="8" max="8" width="58.7109375" customWidth="1"/>
  </cols>
  <sheetData>
    <row r="1" spans="2:8">
      <c r="B1" s="1" t="s">
        <v>5</v>
      </c>
    </row>
    <row r="4" spans="2:8">
      <c r="B4" s="2" t="s">
        <v>1</v>
      </c>
      <c r="C4" s="2" t="s">
        <v>2</v>
      </c>
      <c r="D4" s="3">
        <f>Time!D4</f>
        <v>2025</v>
      </c>
      <c r="E4" s="3">
        <f>Time!E4</f>
        <v>2026</v>
      </c>
      <c r="F4" s="3">
        <f>Time!F4</f>
        <v>2027</v>
      </c>
    </row>
    <row r="8" spans="2:8">
      <c r="B8" s="2" t="s">
        <v>34</v>
      </c>
    </row>
    <row r="9" spans="2:8">
      <c r="B9" s="4" t="s">
        <v>24</v>
      </c>
      <c r="D9" s="8">
        <f>Workings!D12</f>
        <v>1200.0</v>
      </c>
      <c r="E9" s="8">
        <f>Workings!E12</f>
        <v>601.6438356164384</v>
      </c>
      <c r="F9" s="8">
        <f>Workings!F12</f>
        <v>1200.0</v>
      </c>
      <c r="H9" s="6" t="s">
        <v>37</v>
      </c>
    </row>
    <row r="10" spans="2:8">
      <c r="B10" s="4" t="s">
        <v>25</v>
      </c>
      <c r="D10" s="8">
        <f>Workings!D26</f>
        <v>1000.0</v>
      </c>
      <c r="E10" s="8">
        <f>Workings!E26</f>
        <v>401.09589041095893</v>
      </c>
      <c r="F10" s="8">
        <f>Workings!F26</f>
        <v>719.7808219178082</v>
      </c>
    </row>
    <row r="12" spans="2:8">
      <c r="B12" s="4" t="s">
        <v>35</v>
      </c>
      <c r="D12" s="14">
        <f>SUM(D9:D10)</f>
        <v>2200.0</v>
      </c>
      <c r="E12" s="14">
        <f>SUM(E9:E10)</f>
        <v>1002.7397260273974</v>
      </c>
      <c r="F12" s="14">
        <f>SUM(F9:F10)</f>
        <v>1919.7808219178082</v>
      </c>
    </row>
    <row r="15" spans="2:8">
      <c r="B15" s="4" t="s">
        <v>28</v>
      </c>
      <c r="D15" s="8">
        <f>Workings!D36</f>
        <v>4000.0</v>
      </c>
      <c r="E15" s="8">
        <f>Workings!E36</f>
        <v>3598.904109589041</v>
      </c>
      <c r="F15" s="8">
        <f>Workings!F36</f>
        <v>2879.123287671233</v>
      </c>
    </row>
    <row r="18" spans="2:8">
      <c r="B18" s="4" t="s">
        <v>36</v>
      </c>
      <c r="D18" s="8">
        <f>Workings!D44</f>
        <v>0</v>
      </c>
      <c r="E18" s="8">
        <f>Workings!E44</f>
        <v>0</v>
      </c>
      <c r="F18" s="8">
        <f>Workings!F44</f>
        <v>0</v>
      </c>
      <c r="H18" s="6" t="s">
        <v>38</v>
      </c>
    </row>
  </sheetData>
  <pageMargins left="0.7" right="0.7" top="0.75" bottom="0.75" header="0.3" footer="0.3"/>
  <pageSetup orientation="landscape"/>
  <headerFooter>
    <oddFooter>&amp;LOriginal fictional example&amp;RPage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Inputs</vt:lpstr>
      <vt:lpstr>Time</vt:lpstr>
      <vt:lpstr>Workings</vt:lpstr>
      <vt:lpstr>Outputs</vt:lpstr>
      <vt:lpstr>Inputs!Print_Titles</vt:lpstr>
      <vt:lpstr>Outputs!Print_Titles</vt:lpstr>
      <vt:lpstr>Time!Print_Titles</vt:lpstr>
      <vt:lpstr>Workings!Print_Titles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Basic calculation blocks — fictional example</dc:title>
  <dc:creator>Tsoyang</dc:creator>
  <dc:description>Original example; no private data, macros or external workbook links.</dc:description>
  <cp:lastModifiedBy>Tsoyang</cp:lastModifiedBy>
  <dcterms:created xsi:type="dcterms:W3CDTF">2026-10-11T21:50:04Z</dcterms:created>
  <dcterms:modified xsi:type="dcterms:W3CDTF">2026-10-11T21:50:04Z</dcterms:modified>
</cp:coreProperties>
</file>